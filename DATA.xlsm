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aha.gokulu\"/>
    </mc:Choice>
  </mc:AlternateContent>
  <xr:revisionPtr revIDLastSave="0" documentId="13_ncr:1_{80D871B8-2B86-4343-9D32-A3E82B47D203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Ric-Input" sheetId="2" r:id="rId1"/>
    <sheet name="Ric-Output" sheetId="3" r:id="rId2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3" l="1"/>
  <c r="I5" i="3"/>
  <c r="C7" i="3"/>
  <c r="C6" i="3"/>
  <c r="C5" i="3"/>
  <c r="I21" i="3"/>
  <c r="H21" i="3"/>
  <c r="G21" i="3"/>
  <c r="F21" i="3"/>
  <c r="E21" i="3"/>
  <c r="D21" i="3"/>
  <c r="E23" i="3"/>
  <c r="F23" i="3"/>
  <c r="G23" i="3"/>
  <c r="H23" i="3"/>
  <c r="I23" i="3"/>
  <c r="D23" i="3"/>
  <c r="E22" i="3"/>
  <c r="F22" i="3"/>
  <c r="G22" i="3"/>
  <c r="H22" i="3"/>
  <c r="I22" i="3"/>
  <c r="D22" i="3"/>
  <c r="E19" i="3"/>
  <c r="F19" i="3"/>
  <c r="G19" i="3"/>
  <c r="H19" i="3"/>
  <c r="I19" i="3"/>
  <c r="D19" i="3"/>
  <c r="E18" i="3"/>
  <c r="F18" i="3"/>
  <c r="G18" i="3"/>
  <c r="H18" i="3"/>
  <c r="I18" i="3"/>
  <c r="D18" i="3"/>
  <c r="E17" i="3"/>
  <c r="F17" i="3"/>
  <c r="G17" i="3"/>
  <c r="H17" i="3"/>
  <c r="I17" i="3"/>
  <c r="D17" i="3"/>
  <c r="E16" i="3"/>
  <c r="F16" i="3"/>
  <c r="G16" i="3"/>
  <c r="H16" i="3"/>
  <c r="I16" i="3"/>
  <c r="D16" i="3"/>
  <c r="E14" i="3"/>
  <c r="F14" i="3"/>
  <c r="G14" i="3"/>
  <c r="H14" i="3"/>
  <c r="I14" i="3"/>
  <c r="D14" i="3"/>
  <c r="D54" i="3"/>
  <c r="D53" i="3"/>
  <c r="D52" i="3"/>
  <c r="D51" i="3"/>
  <c r="C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Riccardo Sangiorgio</author>
  </authors>
  <commentList>
    <comment ref="G10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 xml:space="preserve">Riccardo Sangiorgio:
</t>
        </r>
      </text>
    </comment>
  </commentList>
</comments>
</file>

<file path=xl/sharedStrings.xml><?xml version="1.0" encoding="utf-8"?>
<sst xmlns="http://schemas.openxmlformats.org/spreadsheetml/2006/main" count="147" uniqueCount="97">
  <si>
    <t>TWIN SCREW EXTRUDERS DESIGN, INPUT page</t>
  </si>
  <si>
    <t>SCREW CODE</t>
  </si>
  <si>
    <t>c52</t>
  </si>
  <si>
    <t>NUMBER OF ZONES</t>
  </si>
  <si>
    <t>SCREW O.D.</t>
  </si>
  <si>
    <t>no</t>
  </si>
  <si>
    <t>mm</t>
  </si>
  <si>
    <t>QUOTE = 0 (screw start)</t>
  </si>
  <si>
    <t>SCREWS LENGTH</t>
  </si>
  <si>
    <t>CORE MAX DIAM (screw start)</t>
  </si>
  <si>
    <t>SCREW SPEED</t>
  </si>
  <si>
    <t>gir/min</t>
  </si>
  <si>
    <t>CORE MIN. DIAM. (screw end)</t>
  </si>
  <si>
    <t>N°.CUTS</t>
  </si>
  <si>
    <t>THREAD MAX DIAM. (screw start)</t>
  </si>
  <si>
    <t>MILL DIAM.</t>
  </si>
  <si>
    <t>mm.</t>
  </si>
  <si>
    <t>THREAD MIN DIAM. (screw end)</t>
  </si>
  <si>
    <t>FEEDING COMP. Ratio</t>
  </si>
  <si>
    <t>MAX SPAN (screw start)</t>
  </si>
  <si>
    <t>BULK DENSITY</t>
  </si>
  <si>
    <t>g/cm3</t>
  </si>
  <si>
    <t>MIN SPAN (screw end)</t>
  </si>
  <si>
    <t>SPECIFIC WEIGHT</t>
  </si>
  <si>
    <t>SCREW PROFILE LENGTH</t>
  </si>
  <si>
    <t>ZONE</t>
  </si>
  <si>
    <t>PITCH</t>
  </si>
  <si>
    <t>N° STARTS</t>
  </si>
  <si>
    <t>ZONE LENGTH</t>
  </si>
  <si>
    <t>THREAD DEPTH</t>
  </si>
  <si>
    <t>CREST WIDTH</t>
  </si>
  <si>
    <t>BOTTOM WIDTH</t>
  </si>
  <si>
    <t>CUT LENGTH</t>
  </si>
  <si>
    <t>RISULTATI PARAMETRI PROGETTAZIONE VITI</t>
  </si>
  <si>
    <t>PARAMETRI IN INGRESSO</t>
  </si>
  <si>
    <t>codice vite</t>
  </si>
  <si>
    <t>interasse</t>
  </si>
  <si>
    <t>diametro vite</t>
  </si>
  <si>
    <t>angolo compenetrazione viti</t>
  </si>
  <si>
    <t>grd</t>
  </si>
  <si>
    <t>lunghezza utile vite</t>
  </si>
  <si>
    <t>area sezione retta cilindro</t>
  </si>
  <si>
    <t>cm2</t>
  </si>
  <si>
    <t>L:D</t>
  </si>
  <si>
    <t xml:space="preserve">velocità di rotazione </t>
  </si>
  <si>
    <t>g/min</t>
  </si>
  <si>
    <t>PARAMETRI DELLA VITE PER OGNI ZONA</t>
  </si>
  <si>
    <t>zona</t>
  </si>
  <si>
    <t>PASSO</t>
  </si>
  <si>
    <t>PROFONDITA' FILETTO</t>
  </si>
  <si>
    <t>LARGHEZZA CRESTA</t>
  </si>
  <si>
    <t>LARGHEZZA FONDO</t>
  </si>
  <si>
    <t>NUMERO PRINCIPI</t>
  </si>
  <si>
    <t>n</t>
  </si>
  <si>
    <t>LUNGHEZZA ZONA</t>
  </si>
  <si>
    <t>NUMERO CRESTE</t>
  </si>
  <si>
    <t>LUNGHEZZA</t>
  </si>
  <si>
    <t>%</t>
  </si>
  <si>
    <t>RAPPORTO COMPRESSIONE</t>
  </si>
  <si>
    <t>DENSITA' APPARENTE</t>
  </si>
  <si>
    <t>gr/cm3</t>
  </si>
  <si>
    <t>AREA SEZ. RETTA VITE</t>
  </si>
  <si>
    <t>VOLUME VUOTO AL GIRO</t>
  </si>
  <si>
    <t>cm3</t>
  </si>
  <si>
    <t>LUCE DI CALANDRA</t>
  </si>
  <si>
    <t>LUCE TRA I FIANCHI</t>
  </si>
  <si>
    <t>LUCE TETRAEDRICA</t>
  </si>
  <si>
    <t>TRAFERRO LONGITUDINALE</t>
  </si>
  <si>
    <t>ANGOLO ELICA base vite</t>
  </si>
  <si>
    <t>grad</t>
  </si>
  <si>
    <t>ANGOLO ELICA metà vite</t>
  </si>
  <si>
    <t>ANGOLO ELICA cresta vite</t>
  </si>
  <si>
    <t>canale perp. cresta vite.</t>
  </si>
  <si>
    <t>canale perp. base vite</t>
  </si>
  <si>
    <t>canale perp. metà vite</t>
  </si>
  <si>
    <t>cresta perpendicolare</t>
  </si>
  <si>
    <t>ANGOLO FRESAT. FILETTO</t>
  </si>
  <si>
    <t>CAPACITA' CALANDRABILE</t>
  </si>
  <si>
    <t>g</t>
  </si>
  <si>
    <t>CAPACITA CAMERA A C</t>
  </si>
  <si>
    <t>CALANDRATE STATISTICHE</t>
  </si>
  <si>
    <t>n°</t>
  </si>
  <si>
    <t>SHEAR RATE</t>
  </si>
  <si>
    <t>sec-1</t>
  </si>
  <si>
    <t>SUP. CONTATTO CILINDRO</t>
  </si>
  <si>
    <t>SUP. CONTATTO 2 VITI</t>
  </si>
  <si>
    <t>TEMPO PERMANENZA MIN.</t>
  </si>
  <si>
    <t xml:space="preserve">sec </t>
  </si>
  <si>
    <t>PARAMETRI VITE TOTALI</t>
  </si>
  <si>
    <t xml:space="preserve"> RITORNA AD INPUT DATI</t>
  </si>
  <si>
    <t>PORTATA MASSIMA [Kg/h]</t>
  </si>
  <si>
    <t>AMPERES TEORICI DEL MOTORE [A]</t>
  </si>
  <si>
    <t>POTENZA TEORICA DEL MOTORE [Kw]</t>
  </si>
  <si>
    <t>TEMPO PERMANENZA MINIMO [sec]</t>
  </si>
  <si>
    <t>SUP TOT CONTATTO VITI [cm2]</t>
  </si>
  <si>
    <t>SUP TOT CONTATTO CILINDRO [n°]</t>
  </si>
  <si>
    <t>x [mm]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</si>
</sst>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20"/>
      <color theme="1"/>
      <name val="Calibri"/>
      <family val="2"/>
      <scheme val="minor"/>
    </font>
    <font>
      <b/>
      <sz val="14"/>
      <name val="Arial"/>
      <family val="2"/>
    </font>
    <font>
      <u/>
      <sz val="11"/>
      <color theme="10"/>
      <name val="Calibri"/>
      <family val="2"/>
      <scheme val="minor"/>
    </font>
    <font>
      <sz val="18"/>
      <name val="Calibri"/>
      <family val="2"/>
      <scheme val="minor"/>
    </font>
    <font>
      <sz val="14"/>
      <name val="Arial"/>
      <family val="2"/>
    </font>
    <font>
      <b/>
      <sz val="12"/>
      <name val="Arial"/>
      <family val="2"/>
    </font>
    <font>
      <b/>
      <u/>
      <sz val="10"/>
      <color indexed="1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sz val="12"/>
      <color theme="3"/>
      <name val="Arial"/>
      <family val="2"/>
    </font>
    <font>
      <b/>
      <sz val="14"/>
      <color rgb="FF0000FF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/>
  </cellStyleXfs>
  <cellXfs count="109">
    <xf numFmtId="0" fontId="0" fillId="0" borderId="0" xfId="0"/>
    <xf numFmtId="0" fontId="5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textRotation="90"/>
    </xf>
    <xf numFmtId="0" fontId="4" fillId="2" borderId="1" xfId="0" applyFont="1" applyFill="1" applyBorder="1"/>
    <xf numFmtId="0" fontId="4" fillId="5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/>
    </xf>
    <xf numFmtId="0" fontId="4" fillId="7" borderId="1" xfId="0" applyFont="1" applyFill="1" applyBorder="1"/>
    <xf numFmtId="0" fontId="5" fillId="5" borderId="3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0" fillId="8" borderId="6" xfId="0" applyFill="1" applyBorder="1"/>
    <xf numFmtId="0" fontId="0" fillId="8" borderId="7" xfId="0" applyFill="1" applyBorder="1"/>
    <xf numFmtId="0" fontId="0" fillId="8" borderId="4" xfId="0" applyFill="1" applyBorder="1"/>
    <xf numFmtId="0" fontId="7" fillId="8" borderId="4" xfId="0" applyFont="1" applyFill="1" applyBorder="1" applyAlignment="1">
      <alignment horizontal="left" vertical="center"/>
    </xf>
    <xf numFmtId="0" fontId="7" fillId="8" borderId="4" xfId="0" applyFont="1" applyFill="1" applyBorder="1" applyAlignment="1">
      <alignment horizontal="center" vertical="center"/>
    </xf>
    <xf numFmtId="0" fontId="0" fillId="0" borderId="9" xfId="0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0" fillId="8" borderId="11" xfId="0" applyFill="1" applyBorder="1"/>
    <xf numFmtId="0" fontId="0" fillId="8" borderId="12" xfId="0" applyFill="1" applyBorder="1"/>
    <xf numFmtId="0" fontId="4" fillId="8" borderId="16" xfId="0" applyFont="1" applyFill="1" applyBorder="1"/>
    <xf numFmtId="0" fontId="4" fillId="8" borderId="13" xfId="0" applyFont="1" applyFill="1" applyBorder="1"/>
    <xf numFmtId="0" fontId="4" fillId="8" borderId="2" xfId="0" applyFont="1" applyFill="1" applyBorder="1"/>
    <xf numFmtId="0" fontId="0" fillId="8" borderId="22" xfId="0" applyFill="1" applyBorder="1"/>
    <xf numFmtId="0" fontId="0" fillId="8" borderId="23" xfId="0" applyFill="1" applyBorder="1"/>
    <xf numFmtId="0" fontId="0" fillId="8" borderId="24" xfId="0" applyFill="1" applyBorder="1"/>
    <xf numFmtId="0" fontId="2" fillId="2" borderId="9" xfId="0" applyFont="1" applyFill="1" applyBorder="1"/>
    <xf numFmtId="0" fontId="2" fillId="2" borderId="10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1" fillId="2" borderId="10" xfId="0" applyFont="1" applyFill="1" applyBorder="1" applyAlignment="1">
      <alignment horizontal="center"/>
    </xf>
    <xf numFmtId="0" fontId="1" fillId="9" borderId="9" xfId="0" applyFont="1" applyFill="1" applyBorder="1"/>
    <xf numFmtId="2" fontId="1" fillId="9" borderId="10" xfId="0" applyNumberFormat="1" applyFont="1" applyFill="1" applyBorder="1" applyAlignment="1">
      <alignment horizontal="center"/>
    </xf>
    <xf numFmtId="2" fontId="1" fillId="2" borderId="10" xfId="0" applyNumberFormat="1" applyFont="1" applyFill="1" applyBorder="1" applyAlignment="1">
      <alignment horizontal="center"/>
    </xf>
    <xf numFmtId="0" fontId="1" fillId="2" borderId="22" xfId="0" applyFont="1" applyFill="1" applyBorder="1"/>
    <xf numFmtId="0" fontId="1" fillId="2" borderId="11" xfId="0" applyFont="1" applyFill="1" applyBorder="1"/>
    <xf numFmtId="0" fontId="1" fillId="2" borderId="11" xfId="0" applyFont="1" applyFill="1" applyBorder="1" applyAlignment="1">
      <alignment horizontal="center"/>
    </xf>
    <xf numFmtId="2" fontId="1" fillId="2" borderId="11" xfId="0" applyNumberFormat="1" applyFont="1" applyFill="1" applyBorder="1" applyAlignment="1">
      <alignment horizontal="center"/>
    </xf>
    <xf numFmtId="2" fontId="1" fillId="2" borderId="12" xfId="0" applyNumberFormat="1" applyFont="1" applyFill="1" applyBorder="1" applyAlignment="1">
      <alignment horizontal="center"/>
    </xf>
    <xf numFmtId="0" fontId="1" fillId="2" borderId="8" xfId="0" applyFont="1" applyFill="1" applyBorder="1"/>
    <xf numFmtId="0" fontId="1" fillId="2" borderId="20" xfId="0" applyFont="1" applyFill="1" applyBorder="1"/>
    <xf numFmtId="0" fontId="1" fillId="2" borderId="20" xfId="0" applyFont="1" applyFill="1" applyBorder="1" applyAlignment="1">
      <alignment horizontal="center"/>
    </xf>
    <xf numFmtId="0" fontId="11" fillId="2" borderId="20" xfId="0" applyFont="1" applyFill="1" applyBorder="1" applyAlignment="1">
      <alignment horizontal="center"/>
    </xf>
    <xf numFmtId="0" fontId="11" fillId="2" borderId="21" xfId="0" applyFont="1" applyFill="1" applyBorder="1" applyAlignment="1">
      <alignment horizontal="center"/>
    </xf>
    <xf numFmtId="0" fontId="12" fillId="2" borderId="0" xfId="1" applyFont="1" applyFill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2" fillId="2" borderId="0" xfId="0" applyFont="1" applyFill="1"/>
    <xf numFmtId="0" fontId="1" fillId="2" borderId="0" xfId="0" applyFont="1" applyFill="1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0" fontId="0" fillId="2" borderId="0" xfId="0" applyFill="1"/>
    <xf numFmtId="2" fontId="1" fillId="2" borderId="0" xfId="0" applyNumberFormat="1" applyFont="1" applyFill="1"/>
    <xf numFmtId="0" fontId="0" fillId="9" borderId="0" xfId="0" applyFill="1"/>
    <xf numFmtId="0" fontId="1" fillId="9" borderId="0" xfId="0" applyFont="1" applyFill="1"/>
    <xf numFmtId="0" fontId="1" fillId="9" borderId="0" xfId="0" applyFont="1" applyFill="1" applyAlignment="1">
      <alignment horizontal="center"/>
    </xf>
    <xf numFmtId="2" fontId="1" fillId="9" borderId="0" xfId="0" applyNumberFormat="1" applyFont="1" applyFill="1" applyAlignment="1">
      <alignment horizontal="center"/>
    </xf>
    <xf numFmtId="0" fontId="4" fillId="8" borderId="17" xfId="0" applyFont="1" applyFill="1" applyBorder="1"/>
    <xf numFmtId="0" fontId="3" fillId="8" borderId="18" xfId="0" applyFont="1" applyFill="1" applyBorder="1"/>
    <xf numFmtId="0" fontId="4" fillId="8" borderId="14" xfId="0" applyFont="1" applyFill="1" applyBorder="1"/>
    <xf numFmtId="0" fontId="3" fillId="8" borderId="17" xfId="0" applyFont="1" applyFill="1" applyBorder="1"/>
    <xf numFmtId="0" fontId="0" fillId="8" borderId="13" xfId="0" applyFill="1" applyBorder="1"/>
    <xf numFmtId="0" fontId="0" fillId="8" borderId="19" xfId="0" applyFill="1" applyBorder="1"/>
    <xf numFmtId="0" fontId="0" fillId="8" borderId="2" xfId="0" applyFill="1" applyBorder="1"/>
    <xf numFmtId="0" fontId="0" fillId="7" borderId="1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7" xfId="0" applyFill="1" applyBorder="1"/>
    <xf numFmtId="0" fontId="0" fillId="8" borderId="16" xfId="0" applyFill="1" applyBorder="1"/>
    <xf numFmtId="0" fontId="4" fillId="8" borderId="18" xfId="0" applyFont="1" applyFill="1" applyBorder="1"/>
    <xf numFmtId="0" fontId="0" fillId="8" borderId="27" xfId="0" applyFill="1" applyBorder="1"/>
    <xf numFmtId="0" fontId="0" fillId="8" borderId="28" xfId="0" applyFill="1" applyBorder="1"/>
    <xf numFmtId="0" fontId="0" fillId="8" borderId="29" xfId="0" applyFill="1" applyBorder="1"/>
    <xf numFmtId="0" fontId="1" fillId="9" borderId="10" xfId="0" applyFont="1" applyFill="1" applyBorder="1" applyAlignment="1">
      <alignment horizontal="center" vertical="center"/>
    </xf>
    <xf numFmtId="0" fontId="2" fillId="2" borderId="8" xfId="0" applyFont="1" applyFill="1" applyBorder="1"/>
    <xf numFmtId="0" fontId="2" fillId="2" borderId="20" xfId="0" applyFont="1" applyFill="1" applyBorder="1"/>
    <xf numFmtId="0" fontId="2" fillId="2" borderId="21" xfId="0" applyFont="1" applyFill="1" applyBorder="1"/>
    <xf numFmtId="0" fontId="10" fillId="2" borderId="0" xfId="0" applyFont="1" applyFill="1"/>
    <xf numFmtId="0" fontId="2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2" fontId="1" fillId="9" borderId="0" xfId="0" applyNumberFormat="1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/>
    </xf>
    <xf numFmtId="0" fontId="13" fillId="2" borderId="9" xfId="0" applyFont="1" applyFill="1" applyBorder="1"/>
    <xf numFmtId="0" fontId="14" fillId="2" borderId="9" xfId="0" applyFont="1" applyFill="1" applyBorder="1"/>
    <xf numFmtId="0" fontId="14" fillId="9" borderId="9" xfId="0" applyFont="1" applyFill="1" applyBorder="1"/>
    <xf numFmtId="0" fontId="14" fillId="2" borderId="22" xfId="0" applyFont="1" applyFill="1" applyBorder="1"/>
    <xf numFmtId="0" fontId="14" fillId="0" borderId="0" xfId="0" applyFont="1"/>
    <xf numFmtId="2" fontId="0" fillId="0" borderId="0" xfId="0" applyNumberFormat="1"/>
    <xf numFmtId="2" fontId="15" fillId="9" borderId="0" xfId="0" applyNumberFormat="1" applyFont="1" applyFill="1" applyAlignment="1">
      <alignment horizontal="center"/>
    </xf>
    <xf numFmtId="2" fontId="15" fillId="2" borderId="0" xfId="0" applyNumberFormat="1" applyFont="1" applyFill="1" applyAlignment="1">
      <alignment horizontal="center"/>
    </xf>
    <xf numFmtId="0" fontId="4" fillId="8" borderId="28" xfId="0" applyFont="1" applyFill="1" applyBorder="1"/>
    <xf numFmtId="0" fontId="0" fillId="0" borderId="0" xfId="0"/>
    <xf numFmtId="0" fontId="0" fillId="0" borderId="13" xfId="0" applyBorder="1"/>
    <xf numFmtId="0" fontId="6" fillId="8" borderId="30" xfId="0" applyFont="1" applyFill="1" applyBorder="1"/>
    <xf numFmtId="0" fontId="0" fillId="0" borderId="7" xfId="0" applyBorder="1"/>
    <xf numFmtId="0" fontId="0" fillId="2" borderId="26" xfId="0" applyFill="1" applyBorder="1" applyAlignment="1">
      <alignment horizontal="center"/>
    </xf>
    <xf numFmtId="0" fontId="0" fillId="0" borderId="5" xfId="0" applyBorder="1"/>
    <xf numFmtId="0" fontId="9" fillId="2" borderId="26" xfId="0" applyFont="1" applyFill="1" applyBorder="1" applyAlignment="1">
      <alignment horizontal="center" vertical="center"/>
    </xf>
    <xf numFmtId="0" fontId="0" fillId="0" borderId="4" xfId="0" applyBorder="1"/>
    <xf numFmtId="0" fontId="0" fillId="2" borderId="25" xfId="0" applyFill="1" applyBorder="1"/>
  </cellXfs>
  <cellStyles count="2">
    <cellStyle name="Hyperlink" xfId="1" builtinId="8"/>
    <cellStyle name="Normal" xfId="0" builtinId="0"/>
  </cellStyles>
  <dxfs count="3"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  <dxf>
      <fill>
        <patternFill>
          <bgColor theme="3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464821</xdr:colOff>
      <xdr:row>0</xdr:row>
      <xdr:rowOff>45720</xdr:rowOff>
    </xdr:from>
    <xdr:to>
      <xdr:col>1</xdr:col>
      <xdr:colOff>819151</xdr:colOff>
      <xdr:row>0</xdr:row>
      <xdr:rowOff>340081</xdr:rowOff>
    </xdr:to>
    <xdr:pic>
      <xdr:nvPicPr>
        <xdr:cNvPr id="2" name="Graphic 10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4821" y="45720"/>
          <a:ext cx="960120" cy="294361"/>
        </a:xfrm>
        <a:prstGeom prst="rect">
          <a:avLst/>
        </a:prstGeom>
        <a:solidFill>
          <a:schemeClr val="accent1"/>
        </a:solidFill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253192</xdr:colOff>
      <xdr:row>0</xdr:row>
      <xdr:rowOff>30480</xdr:rowOff>
    </xdr:from>
    <xdr:to>
      <xdr:col>1</xdr:col>
      <xdr:colOff>1514474</xdr:colOff>
      <xdr:row>0</xdr:row>
      <xdr:rowOff>476249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3192" y="30480"/>
          <a:ext cx="1674667" cy="441959"/>
        </a:xfrm>
        <a:prstGeom prst="rect">
          <a:avLst/>
        </a:prstGeom>
        <a:solidFill>
          <a:schemeClr val="tx2">
            <a:lumMod val="50000"/>
          </a:schemeClr>
        </a:solidFill>
        <a:ln>
          <a:prstDash val="solid"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11</xdr:row>
          <xdr:rowOff>9525</xdr:rowOff>
        </xdr:from>
        <xdr:to>
          <xdr:col>2</xdr:col>
          <xdr:colOff>19050</xdr:colOff>
          <xdr:row>11</xdr:row>
          <xdr:rowOff>228600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21"/>
  <sheetViews>
    <sheetView tabSelected="1" workbookViewId="0">
      <selection activeCell="O8" sqref="O8"/>
    </sheetView>
  </sheetViews>
  <sheetFormatPr defaultRowHeight="15" x14ac:dyDescent="0.25"/>
  <cols>
    <col min="1" max="1" width="8.7109375" style="20" customWidth="1"/>
    <col min="2" max="2" width="23.7109375" customWidth="1"/>
    <col min="8" max="8" width="9.42578125" customWidth="1"/>
    <col min="9" max="9" width="9.28515625" customWidth="1"/>
  </cols>
  <sheetData>
    <row r="1" spans="1:13" ht="30" customHeight="1" thickBot="1" x14ac:dyDescent="0.45">
      <c r="A1" s="102"/>
      <c r="B1" s="103"/>
      <c r="C1" s="15"/>
      <c r="D1" s="18" t="s">
        <v>0</v>
      </c>
      <c r="E1" s="17"/>
      <c r="F1" s="19"/>
      <c r="G1" s="19"/>
      <c r="H1" s="19"/>
      <c r="I1" s="19"/>
      <c r="J1" s="19"/>
      <c r="K1" s="19"/>
      <c r="L1" s="15"/>
      <c r="M1" s="16"/>
    </row>
    <row r="2" spans="1:13" x14ac:dyDescent="0.25">
      <c r="A2" s="21"/>
      <c r="C2" s="23"/>
      <c r="D2" s="23"/>
      <c r="E2" s="23"/>
      <c r="F2" s="23"/>
      <c r="G2" s="23"/>
      <c r="H2" s="23"/>
      <c r="I2" s="23"/>
      <c r="J2" s="23"/>
      <c r="K2" s="23"/>
      <c r="L2" s="23"/>
      <c r="M2" s="24"/>
    </row>
    <row r="3" spans="1:13" ht="19.899999999999999" customHeight="1" x14ac:dyDescent="0.25">
      <c r="A3" s="22"/>
      <c r="B3" s="67" t="s">
        <v>1</v>
      </c>
      <c r="C3" s="11" t="s">
        <v>2</v>
      </c>
      <c r="D3" s="27"/>
      <c r="E3" s="23"/>
      <c r="F3" s="23"/>
      <c r="G3" s="73" t="s">
        <v>3</v>
      </c>
      <c r="H3" s="74"/>
      <c r="I3" s="74"/>
      <c r="J3" s="76"/>
      <c r="K3" s="72">
        <v>6</v>
      </c>
      <c r="L3" s="78"/>
      <c r="M3" s="24"/>
    </row>
    <row r="4" spans="1:13" ht="19.899999999999999" customHeight="1" x14ac:dyDescent="0.25">
      <c r="A4" s="22"/>
      <c r="B4" s="65" t="s">
        <v>4</v>
      </c>
      <c r="C4" s="11" t="s">
        <v>5</v>
      </c>
      <c r="D4" s="28" t="s">
        <v>6</v>
      </c>
      <c r="E4" s="23"/>
      <c r="F4" s="23"/>
      <c r="G4" s="75" t="s">
        <v>7</v>
      </c>
      <c r="H4" s="23"/>
      <c r="I4" s="23"/>
      <c r="J4" s="69"/>
      <c r="K4" s="72" t="s">
        <v>5</v>
      </c>
      <c r="L4" s="79"/>
      <c r="M4" s="24"/>
    </row>
    <row r="5" spans="1:13" ht="19.899999999999999" customHeight="1" x14ac:dyDescent="0.25">
      <c r="A5" s="22"/>
      <c r="B5" s="65" t="s">
        <v>8</v>
      </c>
      <c r="C5" s="11">
        <v>1315.5</v>
      </c>
      <c r="D5" s="28" t="s">
        <v>6</v>
      </c>
      <c r="E5" s="23"/>
      <c r="F5" s="23"/>
      <c r="G5" s="99" t="s">
        <v>9</v>
      </c>
      <c r="H5" s="100"/>
      <c r="I5" s="100"/>
      <c r="J5" s="101"/>
      <c r="K5" s="72">
        <v>74.5</v>
      </c>
      <c r="L5" s="79" t="s">
        <v>6</v>
      </c>
      <c r="M5" s="24"/>
    </row>
    <row r="6" spans="1:13" ht="19.899999999999999" customHeight="1" x14ac:dyDescent="0.25">
      <c r="A6" s="22"/>
      <c r="B6" s="65" t="s">
        <v>10</v>
      </c>
      <c r="C6" s="11">
        <v>40</v>
      </c>
      <c r="D6" s="28" t="s">
        <v>11</v>
      </c>
      <c r="E6" s="23"/>
      <c r="F6" s="23"/>
      <c r="G6" s="65" t="s">
        <v>12</v>
      </c>
      <c r="H6" s="23"/>
      <c r="I6" s="23"/>
      <c r="J6" s="69"/>
      <c r="K6" s="72">
        <v>28</v>
      </c>
      <c r="L6" s="79" t="s">
        <v>6</v>
      </c>
      <c r="M6" s="24"/>
    </row>
    <row r="7" spans="1:13" ht="19.899999999999999" customHeight="1" x14ac:dyDescent="0.25">
      <c r="A7" s="22"/>
      <c r="B7" s="68" t="s">
        <v>13</v>
      </c>
      <c r="C7" s="11" t="s">
        <v>5</v>
      </c>
      <c r="D7" s="28"/>
      <c r="E7" s="23"/>
      <c r="F7" s="23"/>
      <c r="G7" s="65" t="s">
        <v>14</v>
      </c>
      <c r="H7" s="23"/>
      <c r="I7" s="23"/>
      <c r="J7" s="69"/>
      <c r="K7" s="72">
        <v>124.93</v>
      </c>
      <c r="L7" s="79" t="s">
        <v>6</v>
      </c>
      <c r="M7" s="24"/>
    </row>
    <row r="8" spans="1:13" ht="19.899999999999999" customHeight="1" x14ac:dyDescent="0.25">
      <c r="A8" s="22"/>
      <c r="B8" s="65" t="s">
        <v>15</v>
      </c>
      <c r="C8" s="11" t="s">
        <v>5</v>
      </c>
      <c r="D8" s="28" t="s">
        <v>16</v>
      </c>
      <c r="E8" s="23"/>
      <c r="F8" s="23"/>
      <c r="G8" s="65" t="s">
        <v>17</v>
      </c>
      <c r="H8" s="23"/>
      <c r="I8" s="23"/>
      <c r="J8" s="69"/>
      <c r="K8" s="72">
        <v>58</v>
      </c>
      <c r="L8" s="79" t="s">
        <v>6</v>
      </c>
      <c r="M8" s="24"/>
    </row>
    <row r="9" spans="1:13" ht="19.899999999999999" customHeight="1" x14ac:dyDescent="0.25">
      <c r="A9" s="22"/>
      <c r="B9" s="65" t="s">
        <v>18</v>
      </c>
      <c r="C9" s="12">
        <v>1</v>
      </c>
      <c r="D9" s="28"/>
      <c r="E9" s="23"/>
      <c r="F9" s="23"/>
      <c r="G9" s="65" t="s">
        <v>19</v>
      </c>
      <c r="H9" s="23"/>
      <c r="I9" s="23"/>
      <c r="J9" s="69"/>
      <c r="K9" s="72">
        <v>102</v>
      </c>
      <c r="L9" s="79" t="s">
        <v>6</v>
      </c>
      <c r="M9" s="24"/>
    </row>
    <row r="10" spans="1:13" ht="19.899999999999999" customHeight="1" x14ac:dyDescent="0.25">
      <c r="A10" s="22"/>
      <c r="B10" s="65" t="s">
        <v>20</v>
      </c>
      <c r="C10" s="12">
        <v>0.5</v>
      </c>
      <c r="D10" s="28" t="s">
        <v>21</v>
      </c>
      <c r="E10" s="23"/>
      <c r="F10" s="23"/>
      <c r="G10" s="65" t="s">
        <v>22</v>
      </c>
      <c r="H10" s="23"/>
      <c r="I10" s="23"/>
      <c r="J10" s="69"/>
      <c r="K10" s="72">
        <v>46</v>
      </c>
      <c r="L10" s="79" t="s">
        <v>6</v>
      </c>
      <c r="M10" s="24"/>
    </row>
    <row r="11" spans="1:13" ht="19.899999999999999" customHeight="1" x14ac:dyDescent="0.25">
      <c r="A11" s="22"/>
      <c r="B11" s="66" t="s">
        <v>23</v>
      </c>
      <c r="C11" s="12">
        <v>1.4</v>
      </c>
      <c r="D11" s="29" t="s">
        <v>21</v>
      </c>
      <c r="E11" s="23"/>
      <c r="F11" s="23"/>
      <c r="G11" s="77" t="s">
        <v>24</v>
      </c>
      <c r="H11" s="70"/>
      <c r="I11" s="70"/>
      <c r="J11" s="71"/>
      <c r="K11" s="72" t="s">
        <v>5</v>
      </c>
      <c r="L11" s="80"/>
      <c r="M11" s="24"/>
    </row>
    <row r="12" spans="1:13" x14ac:dyDescent="0.25">
      <c r="A12" s="2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4"/>
    </row>
    <row r="13" spans="1:13" ht="28.9" customHeight="1" x14ac:dyDescent="0.25">
      <c r="A13" s="31"/>
      <c r="B13" s="5" t="s">
        <v>25</v>
      </c>
      <c r="C13" s="13">
        <v>1</v>
      </c>
      <c r="D13" s="2">
        <v>2</v>
      </c>
      <c r="E13" s="3">
        <v>3</v>
      </c>
      <c r="F13" s="4">
        <v>4</v>
      </c>
      <c r="G13" s="1">
        <v>5</v>
      </c>
      <c r="H13" s="2">
        <v>6</v>
      </c>
      <c r="I13" s="3">
        <v>7</v>
      </c>
      <c r="J13" s="4">
        <v>8</v>
      </c>
      <c r="K13" s="1">
        <v>9</v>
      </c>
      <c r="L13" s="2">
        <v>10</v>
      </c>
      <c r="M13" s="24"/>
    </row>
    <row r="14" spans="1:13" ht="28.9" customHeight="1" x14ac:dyDescent="0.25">
      <c r="A14" s="31"/>
      <c r="B14" s="6" t="s">
        <v>26</v>
      </c>
      <c r="C14" s="14">
        <v>40</v>
      </c>
      <c r="D14" s="8">
        <v>41</v>
      </c>
      <c r="E14" s="9">
        <v>25.5</v>
      </c>
      <c r="F14" s="10">
        <v>126</v>
      </c>
      <c r="G14" s="7">
        <v>90</v>
      </c>
      <c r="H14" s="8">
        <v>120</v>
      </c>
      <c r="I14" s="9"/>
      <c r="J14" s="10"/>
      <c r="K14" s="7"/>
      <c r="L14" s="8"/>
      <c r="M14" s="24"/>
    </row>
    <row r="15" spans="1:13" ht="28.9" customHeight="1" x14ac:dyDescent="0.25">
      <c r="A15" s="31"/>
      <c r="B15" s="6" t="s">
        <v>27</v>
      </c>
      <c r="C15" s="14">
        <v>1</v>
      </c>
      <c r="D15" s="8">
        <v>2</v>
      </c>
      <c r="E15" s="9">
        <v>1</v>
      </c>
      <c r="F15" s="10">
        <v>3</v>
      </c>
      <c r="G15" s="7">
        <v>3</v>
      </c>
      <c r="H15" s="8">
        <v>3</v>
      </c>
      <c r="I15" s="9"/>
      <c r="J15" s="10"/>
      <c r="K15" s="7"/>
      <c r="L15" s="8"/>
      <c r="M15" s="24"/>
    </row>
    <row r="16" spans="1:13" ht="28.9" customHeight="1" x14ac:dyDescent="0.25">
      <c r="A16" s="31"/>
      <c r="B16" s="6" t="s">
        <v>28</v>
      </c>
      <c r="C16" s="14">
        <v>256</v>
      </c>
      <c r="D16" s="8">
        <v>312</v>
      </c>
      <c r="E16" s="9">
        <v>55</v>
      </c>
      <c r="F16" s="10">
        <v>200</v>
      </c>
      <c r="G16" s="7">
        <v>299</v>
      </c>
      <c r="H16" s="8">
        <v>120</v>
      </c>
      <c r="I16" s="9"/>
      <c r="J16" s="10"/>
      <c r="K16" s="7"/>
      <c r="L16" s="8"/>
      <c r="M16" s="24"/>
    </row>
    <row r="17" spans="1:13" ht="28.9" customHeight="1" x14ac:dyDescent="0.25">
      <c r="A17" s="31"/>
      <c r="B17" s="6" t="s">
        <v>29</v>
      </c>
      <c r="C17" s="14" t="s">
        <v>5</v>
      </c>
      <c r="D17" s="8" t="s">
        <v>5</v>
      </c>
      <c r="E17" s="9" t="s">
        <v>5</v>
      </c>
      <c r="F17" s="10" t="s">
        <v>5</v>
      </c>
      <c r="G17" s="7" t="s">
        <v>5</v>
      </c>
      <c r="H17" s="8" t="s">
        <v>5</v>
      </c>
      <c r="I17" s="9"/>
      <c r="J17" s="10"/>
      <c r="K17" s="7"/>
      <c r="L17" s="8"/>
      <c r="M17" s="24"/>
    </row>
    <row r="18" spans="1:13" ht="28.9" customHeight="1" x14ac:dyDescent="0.25">
      <c r="A18" s="31"/>
      <c r="B18" s="6" t="s">
        <v>30</v>
      </c>
      <c r="C18" s="14">
        <v>12</v>
      </c>
      <c r="D18" s="8">
        <v>8</v>
      </c>
      <c r="E18" s="9">
        <v>8.5</v>
      </c>
      <c r="F18" s="10">
        <v>13</v>
      </c>
      <c r="G18" s="7">
        <v>9</v>
      </c>
      <c r="H18" s="8">
        <v>10.5</v>
      </c>
      <c r="I18" s="9"/>
      <c r="J18" s="10"/>
      <c r="K18" s="7"/>
      <c r="L18" s="8"/>
      <c r="M18" s="24"/>
    </row>
    <row r="19" spans="1:13" ht="28.9" customHeight="1" x14ac:dyDescent="0.25">
      <c r="A19" s="31"/>
      <c r="B19" s="6" t="s">
        <v>31</v>
      </c>
      <c r="C19" s="14">
        <v>25.5</v>
      </c>
      <c r="D19" s="8">
        <v>12</v>
      </c>
      <c r="E19" s="9">
        <v>12.7</v>
      </c>
      <c r="F19" s="10">
        <v>19</v>
      </c>
      <c r="G19" s="7">
        <v>13</v>
      </c>
      <c r="H19" s="8">
        <v>14</v>
      </c>
      <c r="I19" s="9"/>
      <c r="J19" s="10"/>
      <c r="K19" s="7"/>
      <c r="L19" s="8"/>
      <c r="M19" s="24"/>
    </row>
    <row r="20" spans="1:13" ht="28.9" customHeight="1" x14ac:dyDescent="0.25">
      <c r="A20" s="31"/>
      <c r="B20" s="6" t="s">
        <v>32</v>
      </c>
      <c r="C20" s="14">
        <v>25</v>
      </c>
      <c r="D20" s="8">
        <v>15</v>
      </c>
      <c r="E20" s="9">
        <v>16.5</v>
      </c>
      <c r="F20" s="10">
        <v>17</v>
      </c>
      <c r="G20" s="7">
        <v>0</v>
      </c>
      <c r="H20" s="8">
        <v>0</v>
      </c>
      <c r="I20" s="9"/>
      <c r="J20" s="10"/>
      <c r="K20" s="7"/>
      <c r="L20" s="8"/>
      <c r="M20" s="24"/>
    </row>
    <row r="21" spans="1:13" ht="15" customHeight="1" thickBot="1" x14ac:dyDescent="0.3">
      <c r="A21" s="30"/>
      <c r="B21" s="32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6"/>
    </row>
  </sheetData>
  <mergeCells count="2">
    <mergeCell ref="G5:J5"/>
    <mergeCell ref="A1:B1"/>
  </mergeCells>
  <printOptions horizontalCentered="1" verticalCentered="1"/>
  <pageMargins left="0.23622047244094491" right="0.23622047244094491" top="0.74803149606299213" bottom="0.74803149606299213" header="0.31496062992125978" footer="0.31496062992125978"/>
  <pageSetup paperSize="9" orientation="landscape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61"/>
  <sheetViews>
    <sheetView topLeftCell="A52" zoomScale="80" zoomScaleNormal="80" workbookViewId="0">
      <selection activeCell="M8" sqref="M8"/>
    </sheetView>
  </sheetViews>
  <sheetFormatPr defaultRowHeight="21" customHeight="1" x14ac:dyDescent="0.25"/>
  <cols>
    <col min="1" max="1" width="6" style="95" customWidth="1"/>
    <col min="2" max="2" width="24.7109375" customWidth="1"/>
    <col min="3" max="13" width="10.7109375" customWidth="1"/>
  </cols>
  <sheetData>
    <row r="1" spans="1:13" ht="40.9" customHeight="1" thickBot="1" x14ac:dyDescent="0.3">
      <c r="A1" s="108"/>
      <c r="B1" s="105"/>
      <c r="C1" s="106" t="s">
        <v>33</v>
      </c>
      <c r="D1" s="107"/>
      <c r="E1" s="107"/>
      <c r="F1" s="107"/>
      <c r="G1" s="107"/>
      <c r="H1" s="107"/>
      <c r="I1" s="107"/>
      <c r="J1" s="107"/>
      <c r="K1" s="105"/>
      <c r="L1" s="104"/>
      <c r="M1" s="105"/>
    </row>
    <row r="2" spans="1:13" ht="21" customHeight="1" x14ac:dyDescent="0.25">
      <c r="A2" s="82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4"/>
    </row>
    <row r="3" spans="1:13" ht="21" customHeight="1" x14ac:dyDescent="0.25">
      <c r="A3" s="35"/>
      <c r="B3" s="85" t="s">
        <v>34</v>
      </c>
      <c r="C3" s="56"/>
      <c r="D3" s="56"/>
      <c r="E3" s="56"/>
      <c r="F3" s="56"/>
      <c r="G3" s="56"/>
      <c r="H3" s="56"/>
      <c r="I3" s="56"/>
      <c r="J3" s="56"/>
      <c r="K3" s="56"/>
      <c r="L3" s="56"/>
      <c r="M3" s="36"/>
    </row>
    <row r="4" spans="1:13" ht="21" customHeight="1" x14ac:dyDescent="0.25">
      <c r="A4" s="33"/>
      <c r="B4" s="55"/>
      <c r="C4" s="55"/>
      <c r="D4" s="86"/>
      <c r="E4" s="55"/>
      <c r="F4" s="55"/>
      <c r="G4" s="55"/>
      <c r="H4" s="55"/>
      <c r="I4" s="55"/>
      <c r="J4" s="55"/>
      <c r="K4" s="55"/>
      <c r="L4" s="55"/>
      <c r="M4" s="34"/>
    </row>
    <row r="5" spans="1:13" ht="21" customHeight="1" x14ac:dyDescent="0.25">
      <c r="A5" s="33"/>
      <c r="B5" s="56" t="s">
        <v>35</v>
      </c>
      <c r="C5" s="57" t="str">
        <f>'Ric-Input'!C3</f>
        <v>c52</v>
      </c>
      <c r="D5" s="55"/>
      <c r="E5" s="55"/>
      <c r="F5" s="56" t="s">
        <v>36</v>
      </c>
      <c r="G5" s="55"/>
      <c r="H5" s="55"/>
      <c r="I5" s="58">
        <f>'Ric-Input'!K10</f>
        <v>46</v>
      </c>
      <c r="J5" s="56" t="s">
        <v>6</v>
      </c>
      <c r="K5" s="55"/>
      <c r="L5" s="55"/>
      <c r="M5" s="34"/>
    </row>
    <row r="6" spans="1:13" ht="21" customHeight="1" x14ac:dyDescent="0.25">
      <c r="A6" s="35"/>
      <c r="B6" s="56" t="s">
        <v>37</v>
      </c>
      <c r="C6" s="58">
        <f>'Ric-Input'!K8</f>
        <v>58</v>
      </c>
      <c r="D6" s="56" t="s">
        <v>6</v>
      </c>
      <c r="E6" s="56"/>
      <c r="F6" s="56" t="s">
        <v>38</v>
      </c>
      <c r="G6" s="56"/>
      <c r="H6" s="56"/>
      <c r="I6" s="58"/>
      <c r="J6" s="56" t="s">
        <v>39</v>
      </c>
      <c r="K6" s="56"/>
      <c r="L6" s="56"/>
      <c r="M6" s="36"/>
    </row>
    <row r="7" spans="1:13" ht="21" customHeight="1" x14ac:dyDescent="0.25">
      <c r="A7" s="35"/>
      <c r="B7" s="56" t="s">
        <v>40</v>
      </c>
      <c r="C7" s="58">
        <f>'Ric-Input'!C5</f>
        <v>1315.5</v>
      </c>
      <c r="D7" s="56" t="s">
        <v>6</v>
      </c>
      <c r="E7" s="56"/>
      <c r="F7" s="56" t="s">
        <v>41</v>
      </c>
      <c r="G7" s="56"/>
      <c r="H7" s="56"/>
      <c r="I7" s="58"/>
      <c r="J7" s="56" t="s">
        <v>42</v>
      </c>
      <c r="K7" s="56"/>
      <c r="L7" s="56"/>
      <c r="M7" s="36"/>
    </row>
    <row r="8" spans="1:13" ht="21" customHeight="1" x14ac:dyDescent="0.25">
      <c r="A8" s="35"/>
      <c r="B8" s="56" t="s">
        <v>43</v>
      </c>
      <c r="C8" s="87">
        <f>C7/C6</f>
        <v>22.681034482758619</v>
      </c>
      <c r="D8" s="56"/>
      <c r="E8" s="56"/>
      <c r="F8" s="56" t="s">
        <v>44</v>
      </c>
      <c r="G8" s="59"/>
      <c r="H8" s="59"/>
      <c r="I8" s="58">
        <f>'Ric-Input'!C6</f>
        <v>40</v>
      </c>
      <c r="J8" s="56" t="s">
        <v>45</v>
      </c>
      <c r="K8" s="56"/>
      <c r="L8" s="56"/>
      <c r="M8" s="36"/>
    </row>
    <row r="9" spans="1:13" ht="21" customHeight="1" x14ac:dyDescent="0.25">
      <c r="A9" s="35"/>
      <c r="B9" s="59"/>
      <c r="C9" s="59"/>
      <c r="D9" s="59"/>
      <c r="E9" s="56"/>
      <c r="F9" s="56"/>
      <c r="G9" s="56"/>
      <c r="H9" s="56"/>
      <c r="I9" s="56"/>
      <c r="J9" s="56"/>
      <c r="K9" s="56"/>
      <c r="L9" s="56"/>
      <c r="M9" s="36"/>
    </row>
    <row r="10" spans="1:13" ht="21" customHeight="1" x14ac:dyDescent="0.25">
      <c r="A10" s="92"/>
      <c r="B10" s="56"/>
      <c r="C10" s="60"/>
      <c r="D10" s="56"/>
      <c r="E10" s="85" t="s">
        <v>46</v>
      </c>
      <c r="F10" s="56"/>
      <c r="G10" s="56"/>
      <c r="H10" s="56"/>
      <c r="I10" s="56"/>
      <c r="J10" s="56"/>
      <c r="K10" s="56"/>
      <c r="L10" s="56"/>
      <c r="M10" s="36"/>
    </row>
    <row r="11" spans="1:13" ht="21" customHeight="1" x14ac:dyDescent="0.25">
      <c r="A11" s="92"/>
      <c r="B11" s="56"/>
      <c r="C11" s="60"/>
      <c r="D11" s="56"/>
      <c r="E11" s="85"/>
      <c r="F11" s="56"/>
      <c r="G11" s="56"/>
      <c r="H11" s="56"/>
      <c r="I11" s="56"/>
      <c r="J11" s="56"/>
      <c r="K11" s="56"/>
      <c r="L11" s="56"/>
      <c r="M11" s="36"/>
    </row>
    <row r="12" spans="1:13" ht="21" customHeight="1" x14ac:dyDescent="0.25">
      <c r="A12" s="93"/>
      <c r="B12" s="61"/>
      <c r="C12" s="88" t="s">
        <v>96</v>
      </c>
      <c r="D12" s="89">
        <v>105</v>
      </c>
      <c r="E12" s="89">
        <v>204</v>
      </c>
      <c r="F12" s="89">
        <v>32</v>
      </c>
      <c r="G12" s="89">
        <v>193</v>
      </c>
      <c r="H12" s="89">
        <v>118</v>
      </c>
      <c r="I12" s="89">
        <v>38</v>
      </c>
      <c r="J12" s="89"/>
      <c r="K12" s="89"/>
      <c r="L12" s="89"/>
      <c r="M12" s="81"/>
    </row>
    <row r="13" spans="1:13" ht="21" customHeight="1" x14ac:dyDescent="0.25">
      <c r="A13" s="35"/>
      <c r="B13" s="56"/>
      <c r="C13" s="57" t="s">
        <v>47</v>
      </c>
      <c r="D13" s="90">
        <v>1</v>
      </c>
      <c r="E13" s="90">
        <v>2</v>
      </c>
      <c r="F13" s="90">
        <v>3</v>
      </c>
      <c r="G13" s="90">
        <v>4</v>
      </c>
      <c r="H13" s="90">
        <v>5</v>
      </c>
      <c r="I13" s="90">
        <v>6</v>
      </c>
      <c r="J13" s="90">
        <v>7</v>
      </c>
      <c r="K13" s="90">
        <v>8</v>
      </c>
      <c r="L13" s="90">
        <v>9</v>
      </c>
      <c r="M13" s="37">
        <v>10</v>
      </c>
    </row>
    <row r="14" spans="1:13" ht="21" customHeight="1" x14ac:dyDescent="0.25">
      <c r="A14" s="38" t="s">
        <v>48</v>
      </c>
      <c r="B14" s="62"/>
      <c r="C14" s="63" t="s">
        <v>6</v>
      </c>
      <c r="D14" s="97">
        <f>'Ric-Input'!C14</f>
        <v>40</v>
      </c>
      <c r="E14" s="97">
        <f>'Ric-Input'!D14</f>
        <v>41</v>
      </c>
      <c r="F14" s="97">
        <f>'Ric-Input'!E14</f>
        <v>25.5</v>
      </c>
      <c r="G14" s="97">
        <f>'Ric-Input'!F14</f>
        <v>126</v>
      </c>
      <c r="H14" s="97">
        <f>'Ric-Input'!G14</f>
        <v>90</v>
      </c>
      <c r="I14" s="97">
        <f>'Ric-Input'!H14</f>
        <v>120</v>
      </c>
      <c r="J14" s="64"/>
      <c r="K14" s="64"/>
      <c r="L14" s="64"/>
      <c r="M14" s="39"/>
    </row>
    <row r="15" spans="1:13" ht="21" customHeight="1" x14ac:dyDescent="0.25">
      <c r="A15" s="35" t="s">
        <v>49</v>
      </c>
      <c r="B15" s="56"/>
      <c r="C15" s="57" t="s">
        <v>6</v>
      </c>
      <c r="D15" s="98" t="s">
        <v>5</v>
      </c>
      <c r="E15" s="98" t="s">
        <v>5</v>
      </c>
      <c r="F15" s="98" t="s">
        <v>5</v>
      </c>
      <c r="G15" s="98" t="s">
        <v>5</v>
      </c>
      <c r="H15" s="98" t="s">
        <v>5</v>
      </c>
      <c r="I15" s="98" t="s">
        <v>5</v>
      </c>
      <c r="J15" s="58"/>
      <c r="K15" s="58"/>
      <c r="L15" s="58"/>
      <c r="M15" s="40"/>
    </row>
    <row r="16" spans="1:13" ht="21" customHeight="1" x14ac:dyDescent="0.25">
      <c r="A16" s="38" t="s">
        <v>50</v>
      </c>
      <c r="B16" s="62"/>
      <c r="C16" s="63" t="s">
        <v>6</v>
      </c>
      <c r="D16" s="97">
        <f>'Ric-Input'!C18</f>
        <v>12</v>
      </c>
      <c r="E16" s="97">
        <f>'Ric-Input'!D18</f>
        <v>8</v>
      </c>
      <c r="F16" s="97">
        <f>'Ric-Input'!E18</f>
        <v>8.5</v>
      </c>
      <c r="G16" s="97">
        <f>'Ric-Input'!F18</f>
        <v>13</v>
      </c>
      <c r="H16" s="97">
        <f>'Ric-Input'!G18</f>
        <v>9</v>
      </c>
      <c r="I16" s="97">
        <f>'Ric-Input'!H18</f>
        <v>10.5</v>
      </c>
      <c r="J16" s="64"/>
      <c r="K16" s="64"/>
      <c r="L16" s="64"/>
      <c r="M16" s="39"/>
    </row>
    <row r="17" spans="1:14" ht="21" customHeight="1" x14ac:dyDescent="0.25">
      <c r="A17" s="35" t="s">
        <v>51</v>
      </c>
      <c r="B17" s="56"/>
      <c r="C17" s="57" t="s">
        <v>6</v>
      </c>
      <c r="D17" s="98">
        <f>'Ric-Input'!C19</f>
        <v>25.5</v>
      </c>
      <c r="E17" s="98">
        <f>'Ric-Input'!D19</f>
        <v>12</v>
      </c>
      <c r="F17" s="98">
        <f>'Ric-Input'!E19</f>
        <v>12.7</v>
      </c>
      <c r="G17" s="98">
        <f>'Ric-Input'!F19</f>
        <v>19</v>
      </c>
      <c r="H17" s="98">
        <f>'Ric-Input'!G19</f>
        <v>13</v>
      </c>
      <c r="I17" s="98">
        <f>'Ric-Input'!H19</f>
        <v>14</v>
      </c>
      <c r="J17" s="58"/>
      <c r="K17" s="58"/>
      <c r="L17" s="58"/>
      <c r="M17" s="40"/>
    </row>
    <row r="18" spans="1:14" ht="21" customHeight="1" x14ac:dyDescent="0.25">
      <c r="A18" s="38" t="s">
        <v>52</v>
      </c>
      <c r="B18" s="62"/>
      <c r="C18" s="63" t="s">
        <v>53</v>
      </c>
      <c r="D18" s="97">
        <f>'Ric-Input'!C15</f>
        <v>1</v>
      </c>
      <c r="E18" s="97">
        <f>'Ric-Input'!D15</f>
        <v>2</v>
      </c>
      <c r="F18" s="97">
        <f>'Ric-Input'!E15</f>
        <v>1</v>
      </c>
      <c r="G18" s="97">
        <f>'Ric-Input'!F15</f>
        <v>3</v>
      </c>
      <c r="H18" s="97">
        <f>'Ric-Input'!G15</f>
        <v>3</v>
      </c>
      <c r="I18" s="97">
        <f>'Ric-Input'!H15</f>
        <v>3</v>
      </c>
      <c r="J18" s="64"/>
      <c r="K18" s="64"/>
      <c r="L18" s="64"/>
      <c r="M18" s="39"/>
    </row>
    <row r="19" spans="1:14" ht="21" customHeight="1" x14ac:dyDescent="0.25">
      <c r="A19" s="35" t="s">
        <v>54</v>
      </c>
      <c r="B19" s="56"/>
      <c r="C19" s="57" t="s">
        <v>6</v>
      </c>
      <c r="D19" s="98">
        <f>'Ric-Input'!C16</f>
        <v>256</v>
      </c>
      <c r="E19" s="98">
        <f>'Ric-Input'!D16</f>
        <v>312</v>
      </c>
      <c r="F19" s="98">
        <f>'Ric-Input'!E16</f>
        <v>55</v>
      </c>
      <c r="G19" s="98">
        <f>'Ric-Input'!F16</f>
        <v>200</v>
      </c>
      <c r="H19" s="98">
        <f>'Ric-Input'!G16</f>
        <v>299</v>
      </c>
      <c r="I19" s="98">
        <f>'Ric-Input'!H16</f>
        <v>120</v>
      </c>
      <c r="J19" s="58"/>
      <c r="K19" s="58"/>
      <c r="L19" s="58"/>
      <c r="M19" s="40"/>
    </row>
    <row r="20" spans="1:14" ht="21" customHeight="1" x14ac:dyDescent="0.25">
      <c r="A20" s="38" t="s">
        <v>55</v>
      </c>
      <c r="B20" s="62"/>
      <c r="C20" s="63" t="s">
        <v>53</v>
      </c>
      <c r="D20" s="97"/>
      <c r="E20" s="97"/>
      <c r="F20" s="97"/>
      <c r="G20" s="97"/>
      <c r="H20" s="97"/>
      <c r="I20" s="97"/>
      <c r="J20" s="64"/>
      <c r="K20" s="64"/>
      <c r="L20" s="64"/>
      <c r="M20" s="39"/>
    </row>
    <row r="21" spans="1:14" ht="21" customHeight="1" x14ac:dyDescent="0.25">
      <c r="A21" s="35" t="s">
        <v>56</v>
      </c>
      <c r="B21" s="56"/>
      <c r="C21" s="57" t="s">
        <v>57</v>
      </c>
      <c r="D21" s="98">
        <f>'Ric-Input'!C16/('Ric-Input'!C16+'Ric-Input'!D16+'Ric-Input'!E16+'Ric-Input'!F16+'Ric-Input'!G16+'Ric-Input'!H16)*100</f>
        <v>20.611916264090176</v>
      </c>
      <c r="E21" s="98">
        <f>'Ric-Input'!D16/('Ric-Input'!C16+'Ric-Input'!D16+'Ric-Input'!E16+'Ric-Input'!F16+'Ric-Input'!G16+'Ric-Input'!H16)*100</f>
        <v>25.120772946859905</v>
      </c>
      <c r="F21" s="98">
        <f>'Ric-Input'!E16/('Ric-Input'!C16+'Ric-Input'!D16+'Ric-Input'!E16+'Ric-Input'!F16+'Ric-Input'!G16+'Ric-Input'!H16)*100</f>
        <v>4.4283413848631241</v>
      </c>
      <c r="G21" s="98">
        <f>'Ric-Input'!F16/('Ric-Input'!C16+'Ric-Input'!D16+'Ric-Input'!E16+'Ric-Input'!F16+'Ric-Input'!G16+'Ric-Input'!H16)*100</f>
        <v>16.103059581320451</v>
      </c>
      <c r="H21" s="98">
        <f>'Ric-Input'!G16/('Ric-Input'!C16+'Ric-Input'!D16+'Ric-Input'!E16+'Ric-Input'!F16+'Ric-Input'!G16+'Ric-Input'!H16)*100</f>
        <v>24.074074074074073</v>
      </c>
      <c r="I21" s="98">
        <f>'Ric-Input'!H16/('Ric-Input'!C16+'Ric-Input'!D16+'Ric-Input'!E16+'Ric-Input'!F16+'Ric-Input'!G16+'Ric-Input'!H16)*100</f>
        <v>9.6618357487922708</v>
      </c>
      <c r="J21" s="58"/>
      <c r="K21" s="58"/>
      <c r="L21" s="58"/>
      <c r="M21" s="40"/>
      <c r="N21" s="96"/>
    </row>
    <row r="22" spans="1:14" ht="21" customHeight="1" x14ac:dyDescent="0.25">
      <c r="A22" s="38" t="s">
        <v>58</v>
      </c>
      <c r="B22" s="62"/>
      <c r="C22" s="63"/>
      <c r="D22" s="97">
        <f>'Ric-Input'!$C$9</f>
        <v>1</v>
      </c>
      <c r="E22" s="97">
        <f>'Ric-Input'!$C$9</f>
        <v>1</v>
      </c>
      <c r="F22" s="97">
        <f>'Ric-Input'!$C$9</f>
        <v>1</v>
      </c>
      <c r="G22" s="97">
        <f>'Ric-Input'!$C$9</f>
        <v>1</v>
      </c>
      <c r="H22" s="97">
        <f>'Ric-Input'!$C$9</f>
        <v>1</v>
      </c>
      <c r="I22" s="97">
        <f>'Ric-Input'!$C$9</f>
        <v>1</v>
      </c>
      <c r="J22" s="64"/>
      <c r="K22" s="64"/>
      <c r="L22" s="64"/>
      <c r="M22" s="39"/>
    </row>
    <row r="23" spans="1:14" ht="21" customHeight="1" x14ac:dyDescent="0.25">
      <c r="A23" s="35" t="s">
        <v>59</v>
      </c>
      <c r="B23" s="56"/>
      <c r="C23" s="57" t="s">
        <v>60</v>
      </c>
      <c r="D23" s="98">
        <f>'Ric-Input'!$C$10</f>
        <v>0.5</v>
      </c>
      <c r="E23" s="98">
        <f>'Ric-Input'!$C$10</f>
        <v>0.5</v>
      </c>
      <c r="F23" s="98">
        <f>'Ric-Input'!$C$10</f>
        <v>0.5</v>
      </c>
      <c r="G23" s="98">
        <f>'Ric-Input'!$C$10</f>
        <v>0.5</v>
      </c>
      <c r="H23" s="98">
        <f>'Ric-Input'!$C$10</f>
        <v>0.5</v>
      </c>
      <c r="I23" s="98">
        <f>'Ric-Input'!$C$10</f>
        <v>0.5</v>
      </c>
      <c r="J23" s="58"/>
      <c r="K23" s="58"/>
      <c r="L23" s="58"/>
      <c r="M23" s="40"/>
    </row>
    <row r="24" spans="1:14" ht="21" customHeight="1" x14ac:dyDescent="0.25">
      <c r="A24" s="38" t="s">
        <v>61</v>
      </c>
      <c r="B24" s="62"/>
      <c r="C24" s="63" t="s">
        <v>42</v>
      </c>
      <c r="D24" s="64"/>
      <c r="E24" s="64"/>
      <c r="F24" s="64"/>
      <c r="G24" s="64"/>
      <c r="H24" s="64"/>
      <c r="I24" s="64"/>
      <c r="J24" s="64"/>
      <c r="K24" s="64"/>
      <c r="L24" s="64"/>
      <c r="M24" s="39"/>
    </row>
    <row r="25" spans="1:14" ht="21" customHeight="1" x14ac:dyDescent="0.25">
      <c r="A25" s="35" t="s">
        <v>62</v>
      </c>
      <c r="B25" s="56"/>
      <c r="C25" s="57" t="s">
        <v>63</v>
      </c>
      <c r="D25" s="58"/>
      <c r="E25" s="58"/>
      <c r="F25" s="58"/>
      <c r="G25" s="58"/>
      <c r="H25" s="58"/>
      <c r="I25" s="58"/>
      <c r="J25" s="58"/>
      <c r="K25" s="58"/>
      <c r="L25" s="58"/>
      <c r="M25" s="40"/>
    </row>
    <row r="26" spans="1:14" ht="21" customHeight="1" x14ac:dyDescent="0.25">
      <c r="A26" s="38" t="s">
        <v>64</v>
      </c>
      <c r="B26" s="62"/>
      <c r="C26" s="63" t="s">
        <v>6</v>
      </c>
      <c r="D26" s="64"/>
      <c r="E26" s="64"/>
      <c r="F26" s="64"/>
      <c r="G26" s="64"/>
      <c r="H26" s="64"/>
      <c r="I26" s="64"/>
      <c r="J26" s="64"/>
      <c r="K26" s="64"/>
      <c r="L26" s="64"/>
      <c r="M26" s="39"/>
    </row>
    <row r="27" spans="1:14" ht="21" customHeight="1" x14ac:dyDescent="0.25">
      <c r="A27" s="35" t="s">
        <v>65</v>
      </c>
      <c r="B27" s="56"/>
      <c r="C27" s="57" t="s">
        <v>6</v>
      </c>
      <c r="D27" s="58"/>
      <c r="E27" s="58"/>
      <c r="F27" s="58"/>
      <c r="G27" s="58"/>
      <c r="H27" s="58"/>
      <c r="I27" s="58"/>
      <c r="J27" s="58"/>
      <c r="K27" s="58"/>
      <c r="L27" s="58"/>
      <c r="M27" s="40"/>
    </row>
    <row r="28" spans="1:14" ht="21" customHeight="1" x14ac:dyDescent="0.25">
      <c r="A28" s="38" t="s">
        <v>66</v>
      </c>
      <c r="B28" s="62"/>
      <c r="C28" s="63" t="s">
        <v>6</v>
      </c>
      <c r="D28" s="64"/>
      <c r="E28" s="64"/>
      <c r="F28" s="64"/>
      <c r="G28" s="64"/>
      <c r="H28" s="64"/>
      <c r="I28" s="64"/>
      <c r="J28" s="64"/>
      <c r="K28" s="64"/>
      <c r="L28" s="64"/>
      <c r="M28" s="39"/>
    </row>
    <row r="29" spans="1:14" ht="21" customHeight="1" thickBot="1" x14ac:dyDescent="0.3">
      <c r="A29" s="41" t="s">
        <v>67</v>
      </c>
      <c r="B29" s="42"/>
      <c r="C29" s="43" t="s">
        <v>6</v>
      </c>
      <c r="D29" s="44"/>
      <c r="E29" s="44"/>
      <c r="F29" s="44"/>
      <c r="G29" s="44"/>
      <c r="H29" s="44"/>
      <c r="I29" s="44"/>
      <c r="J29" s="44"/>
      <c r="K29" s="44"/>
      <c r="L29" s="44"/>
      <c r="M29" s="45"/>
    </row>
    <row r="30" spans="1:14" ht="21" customHeight="1" x14ac:dyDescent="0.25">
      <c r="A30" s="46"/>
      <c r="B30" s="47"/>
      <c r="C30" s="48" t="s">
        <v>47</v>
      </c>
      <c r="D30" s="49">
        <v>1</v>
      </c>
      <c r="E30" s="49">
        <v>2</v>
      </c>
      <c r="F30" s="49">
        <v>3</v>
      </c>
      <c r="G30" s="49">
        <v>4</v>
      </c>
      <c r="H30" s="49">
        <v>5</v>
      </c>
      <c r="I30" s="49">
        <v>6</v>
      </c>
      <c r="J30" s="49">
        <v>7</v>
      </c>
      <c r="K30" s="49">
        <v>8</v>
      </c>
      <c r="L30" s="49">
        <v>9</v>
      </c>
      <c r="M30" s="50">
        <v>10</v>
      </c>
    </row>
    <row r="31" spans="1:14" ht="21" customHeight="1" x14ac:dyDescent="0.25">
      <c r="A31" s="38" t="s">
        <v>68</v>
      </c>
      <c r="B31" s="62"/>
      <c r="C31" s="63" t="s">
        <v>69</v>
      </c>
      <c r="D31" s="64"/>
      <c r="E31" s="64"/>
      <c r="F31" s="64"/>
      <c r="G31" s="64"/>
      <c r="H31" s="64"/>
      <c r="I31" s="64"/>
      <c r="J31" s="64"/>
      <c r="K31" s="64"/>
      <c r="L31" s="64"/>
      <c r="M31" s="39"/>
    </row>
    <row r="32" spans="1:14" ht="21" customHeight="1" x14ac:dyDescent="0.25">
      <c r="A32" s="35" t="s">
        <v>70</v>
      </c>
      <c r="B32" s="56"/>
      <c r="C32" s="57" t="s">
        <v>69</v>
      </c>
      <c r="D32" s="58"/>
      <c r="E32" s="58"/>
      <c r="F32" s="58"/>
      <c r="G32" s="58"/>
      <c r="H32" s="58"/>
      <c r="I32" s="58"/>
      <c r="J32" s="58"/>
      <c r="K32" s="58"/>
      <c r="L32" s="58"/>
      <c r="M32" s="40"/>
    </row>
    <row r="33" spans="1:13" ht="21" customHeight="1" x14ac:dyDescent="0.25">
      <c r="A33" s="38" t="s">
        <v>71</v>
      </c>
      <c r="B33" s="62"/>
      <c r="C33" s="63" t="s">
        <v>69</v>
      </c>
      <c r="D33" s="64"/>
      <c r="E33" s="64"/>
      <c r="F33" s="64"/>
      <c r="G33" s="64"/>
      <c r="H33" s="64"/>
      <c r="I33" s="64"/>
      <c r="J33" s="64"/>
      <c r="K33" s="64"/>
      <c r="L33" s="64"/>
      <c r="M33" s="39"/>
    </row>
    <row r="34" spans="1:13" ht="21" customHeight="1" x14ac:dyDescent="0.25">
      <c r="A34" s="35" t="s">
        <v>72</v>
      </c>
      <c r="B34" s="59"/>
      <c r="C34" s="57" t="s">
        <v>6</v>
      </c>
      <c r="D34" s="58"/>
      <c r="E34" s="58"/>
      <c r="F34" s="58"/>
      <c r="G34" s="58"/>
      <c r="H34" s="58"/>
      <c r="I34" s="58"/>
      <c r="J34" s="58"/>
      <c r="K34" s="58"/>
      <c r="L34" s="58"/>
      <c r="M34" s="40"/>
    </row>
    <row r="35" spans="1:13" ht="21" customHeight="1" x14ac:dyDescent="0.25">
      <c r="A35" s="38" t="s">
        <v>73</v>
      </c>
      <c r="B35" s="61"/>
      <c r="C35" s="63" t="s">
        <v>6</v>
      </c>
      <c r="D35" s="64"/>
      <c r="E35" s="64"/>
      <c r="F35" s="64"/>
      <c r="G35" s="64"/>
      <c r="H35" s="64"/>
      <c r="I35" s="64"/>
      <c r="J35" s="64"/>
      <c r="K35" s="64"/>
      <c r="L35" s="64"/>
      <c r="M35" s="39"/>
    </row>
    <row r="36" spans="1:13" ht="21" customHeight="1" x14ac:dyDescent="0.25">
      <c r="A36" s="35" t="s">
        <v>74</v>
      </c>
      <c r="B36" s="59"/>
      <c r="C36" s="57" t="s">
        <v>6</v>
      </c>
      <c r="D36" s="58"/>
      <c r="E36" s="58"/>
      <c r="F36" s="58"/>
      <c r="G36" s="58"/>
      <c r="H36" s="58"/>
      <c r="I36" s="58"/>
      <c r="J36" s="58"/>
      <c r="K36" s="58"/>
      <c r="L36" s="58"/>
      <c r="M36" s="40"/>
    </row>
    <row r="37" spans="1:13" ht="21" customHeight="1" x14ac:dyDescent="0.25">
      <c r="A37" s="38" t="s">
        <v>75</v>
      </c>
      <c r="B37" s="61"/>
      <c r="C37" s="63" t="s">
        <v>6</v>
      </c>
      <c r="D37" s="64"/>
      <c r="E37" s="64"/>
      <c r="F37" s="64"/>
      <c r="G37" s="64"/>
      <c r="H37" s="64"/>
      <c r="I37" s="64"/>
      <c r="J37" s="64"/>
      <c r="K37" s="64"/>
      <c r="L37" s="64"/>
      <c r="M37" s="39"/>
    </row>
    <row r="38" spans="1:13" ht="21" customHeight="1" x14ac:dyDescent="0.25">
      <c r="A38" s="35" t="s">
        <v>76</v>
      </c>
      <c r="B38" s="56"/>
      <c r="C38" s="57" t="s">
        <v>69</v>
      </c>
      <c r="D38" s="58"/>
      <c r="E38" s="58"/>
      <c r="F38" s="58"/>
      <c r="G38" s="58"/>
      <c r="H38" s="58"/>
      <c r="I38" s="58"/>
      <c r="J38" s="58"/>
      <c r="K38" s="58"/>
      <c r="L38" s="58"/>
      <c r="M38" s="40"/>
    </row>
    <row r="39" spans="1:13" ht="21" customHeight="1" x14ac:dyDescent="0.25">
      <c r="A39" s="38" t="s">
        <v>77</v>
      </c>
      <c r="B39" s="62"/>
      <c r="C39" s="63" t="s">
        <v>78</v>
      </c>
      <c r="D39" s="64"/>
      <c r="E39" s="64"/>
      <c r="F39" s="64"/>
      <c r="G39" s="64"/>
      <c r="H39" s="64"/>
      <c r="I39" s="64"/>
      <c r="J39" s="64"/>
      <c r="K39" s="64"/>
      <c r="L39" s="64"/>
      <c r="M39" s="39"/>
    </row>
    <row r="40" spans="1:13" ht="21" customHeight="1" x14ac:dyDescent="0.25">
      <c r="A40" s="35" t="s">
        <v>79</v>
      </c>
      <c r="B40" s="56"/>
      <c r="C40" s="57" t="s">
        <v>78</v>
      </c>
      <c r="D40" s="58"/>
      <c r="E40" s="58"/>
      <c r="F40" s="58"/>
      <c r="G40" s="58"/>
      <c r="H40" s="58"/>
      <c r="I40" s="58"/>
      <c r="J40" s="58"/>
      <c r="K40" s="58"/>
      <c r="L40" s="58"/>
      <c r="M40" s="40"/>
    </row>
    <row r="41" spans="1:13" ht="21" customHeight="1" x14ac:dyDescent="0.25">
      <c r="A41" s="38" t="s">
        <v>80</v>
      </c>
      <c r="B41" s="62"/>
      <c r="C41" s="63" t="s">
        <v>81</v>
      </c>
      <c r="D41" s="64"/>
      <c r="E41" s="64"/>
      <c r="F41" s="64"/>
      <c r="G41" s="64"/>
      <c r="H41" s="64"/>
      <c r="I41" s="64"/>
      <c r="J41" s="64"/>
      <c r="K41" s="64"/>
      <c r="L41" s="64"/>
      <c r="M41" s="39"/>
    </row>
    <row r="42" spans="1:13" ht="21" customHeight="1" x14ac:dyDescent="0.25">
      <c r="A42" s="35" t="s">
        <v>82</v>
      </c>
      <c r="B42" s="56"/>
      <c r="C42" s="57" t="s">
        <v>83</v>
      </c>
      <c r="D42" s="58"/>
      <c r="E42" s="58"/>
      <c r="F42" s="58"/>
      <c r="G42" s="58"/>
      <c r="H42" s="58"/>
      <c r="I42" s="58"/>
      <c r="J42" s="58"/>
      <c r="K42" s="58"/>
      <c r="L42" s="58"/>
      <c r="M42" s="40"/>
    </row>
    <row r="43" spans="1:13" ht="21" customHeight="1" x14ac:dyDescent="0.25">
      <c r="A43" s="38" t="s">
        <v>84</v>
      </c>
      <c r="B43" s="62"/>
      <c r="C43" s="63" t="s">
        <v>42</v>
      </c>
      <c r="D43" s="64"/>
      <c r="E43" s="64"/>
      <c r="F43" s="64"/>
      <c r="G43" s="64"/>
      <c r="H43" s="64"/>
      <c r="I43" s="64"/>
      <c r="J43" s="64"/>
      <c r="K43" s="64"/>
      <c r="L43" s="64"/>
      <c r="M43" s="39"/>
    </row>
    <row r="44" spans="1:13" ht="21" customHeight="1" x14ac:dyDescent="0.25">
      <c r="A44" s="35" t="s">
        <v>85</v>
      </c>
      <c r="B44" s="56"/>
      <c r="C44" s="57" t="s">
        <v>42</v>
      </c>
      <c r="D44" s="58"/>
      <c r="E44" s="58"/>
      <c r="F44" s="58"/>
      <c r="G44" s="58"/>
      <c r="H44" s="58"/>
      <c r="I44" s="58"/>
      <c r="J44" s="58"/>
      <c r="K44" s="58"/>
      <c r="L44" s="58"/>
      <c r="M44" s="40"/>
    </row>
    <row r="45" spans="1:13" ht="21" customHeight="1" x14ac:dyDescent="0.25">
      <c r="A45" s="38" t="s">
        <v>86</v>
      </c>
      <c r="B45" s="62"/>
      <c r="C45" s="63" t="s">
        <v>87</v>
      </c>
      <c r="D45" s="64"/>
      <c r="E45" s="64"/>
      <c r="F45" s="64"/>
      <c r="G45" s="64"/>
      <c r="H45" s="64"/>
      <c r="I45" s="64"/>
      <c r="J45" s="64"/>
      <c r="K45" s="64"/>
      <c r="L45" s="64"/>
      <c r="M45" s="39"/>
    </row>
    <row r="46" spans="1:13" ht="15" customHeight="1" x14ac:dyDescent="0.25">
      <c r="A46" s="35"/>
      <c r="B46" s="56"/>
      <c r="C46" s="57"/>
      <c r="D46" s="58"/>
      <c r="E46" s="58"/>
      <c r="F46" s="58"/>
      <c r="G46" s="58"/>
      <c r="H46" s="58"/>
      <c r="I46" s="58"/>
      <c r="J46" s="58"/>
      <c r="K46" s="58"/>
      <c r="L46" s="58"/>
      <c r="M46" s="40"/>
    </row>
    <row r="47" spans="1:13" ht="15" customHeight="1" x14ac:dyDescent="0.25">
      <c r="A47" s="33"/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34"/>
    </row>
    <row r="48" spans="1:13" ht="15" customHeight="1" x14ac:dyDescent="0.25">
      <c r="A48" s="35"/>
      <c r="B48" s="56" t="s">
        <v>88</v>
      </c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36"/>
    </row>
    <row r="49" spans="1:13" ht="15" customHeight="1" x14ac:dyDescent="0.25">
      <c r="A49" s="33"/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34"/>
    </row>
    <row r="50" spans="1:13" ht="16.899999999999999" customHeight="1" x14ac:dyDescent="0.25">
      <c r="A50" s="91" t="s">
        <v>90</v>
      </c>
      <c r="B50" s="56"/>
      <c r="C50" s="56"/>
      <c r="D50" s="58"/>
      <c r="E50" s="56"/>
      <c r="F50" s="56"/>
      <c r="G50" s="56"/>
      <c r="H50" s="56"/>
      <c r="I50" s="56"/>
      <c r="J50" s="56"/>
      <c r="K50" s="56"/>
      <c r="L50" s="56"/>
      <c r="M50" s="36"/>
    </row>
    <row r="51" spans="1:13" ht="16.899999999999999" customHeight="1" x14ac:dyDescent="0.25">
      <c r="A51" s="91" t="s">
        <v>93</v>
      </c>
      <c r="B51" s="56"/>
      <c r="C51" s="56"/>
      <c r="D51" s="58">
        <f>D45+E45+F45+G45+H45+I45+J45+K45+M45</f>
        <v>0</v>
      </c>
      <c r="E51" s="56"/>
      <c r="F51" s="56"/>
      <c r="G51" s="56"/>
      <c r="H51" s="56"/>
      <c r="I51" s="56"/>
      <c r="J51" s="56"/>
      <c r="K51" s="56"/>
      <c r="L51" s="56"/>
      <c r="M51" s="36"/>
    </row>
    <row r="52" spans="1:13" ht="16.899999999999999" customHeight="1" x14ac:dyDescent="0.25">
      <c r="A52" s="91" t="s">
        <v>80</v>
      </c>
      <c r="B52" s="56"/>
      <c r="C52" s="56"/>
      <c r="D52" s="58">
        <f>D41+E41+F41+G41+H41+I41+J41+K41+M41</f>
        <v>0</v>
      </c>
      <c r="E52" s="56"/>
      <c r="F52" s="56"/>
      <c r="G52" s="56"/>
      <c r="H52" s="56"/>
      <c r="I52" s="56"/>
      <c r="J52" s="51" t="s">
        <v>89</v>
      </c>
      <c r="K52" s="56"/>
      <c r="L52" s="56"/>
      <c r="M52" s="36"/>
    </row>
    <row r="53" spans="1:13" ht="16.899999999999999" customHeight="1" x14ac:dyDescent="0.25">
      <c r="A53" s="91" t="s">
        <v>95</v>
      </c>
      <c r="B53" s="56"/>
      <c r="C53" s="56"/>
      <c r="D53" s="58">
        <f>D43+E43+F43+G43+H43+I43+J43+K43+M43</f>
        <v>0</v>
      </c>
      <c r="E53" s="56"/>
      <c r="F53" s="56"/>
      <c r="G53" s="56"/>
      <c r="H53" s="56"/>
      <c r="I53" s="56"/>
      <c r="J53" s="56"/>
      <c r="K53" s="56"/>
      <c r="L53" s="56"/>
      <c r="M53" s="36"/>
    </row>
    <row r="54" spans="1:13" ht="16.5" customHeight="1" x14ac:dyDescent="0.25">
      <c r="A54" s="91" t="s">
        <v>94</v>
      </c>
      <c r="B54" s="56"/>
      <c r="C54" s="56"/>
      <c r="D54" s="58">
        <f>D44+E44+F44+G44+H44+I44+J44+K44+M44</f>
        <v>0</v>
      </c>
      <c r="E54" s="56"/>
      <c r="F54" s="56"/>
      <c r="G54" s="56"/>
      <c r="H54" s="56"/>
      <c r="I54" s="56"/>
      <c r="J54" s="56"/>
      <c r="K54" s="56"/>
      <c r="L54" s="56"/>
      <c r="M54" s="36"/>
    </row>
    <row r="55" spans="1:13" ht="16.899999999999999" customHeight="1" x14ac:dyDescent="0.25">
      <c r="A55" s="91" t="s">
        <v>92</v>
      </c>
      <c r="B55" s="59"/>
      <c r="C55" s="59"/>
      <c r="D55" s="60"/>
      <c r="E55" s="56"/>
      <c r="F55" s="59"/>
      <c r="G55" s="59"/>
      <c r="H55" s="59"/>
      <c r="I55" s="59"/>
      <c r="J55" s="59"/>
      <c r="K55" s="59"/>
      <c r="L55" s="59"/>
      <c r="M55" s="52"/>
    </row>
    <row r="56" spans="1:13" ht="16.899999999999999" customHeight="1" x14ac:dyDescent="0.25">
      <c r="A56" s="91" t="s">
        <v>91</v>
      </c>
      <c r="B56" s="59"/>
      <c r="C56" s="59"/>
      <c r="D56" s="60"/>
      <c r="E56" s="56"/>
      <c r="F56" s="59"/>
      <c r="G56" s="59"/>
      <c r="H56" s="59"/>
      <c r="I56" s="59"/>
      <c r="J56" s="59"/>
      <c r="K56" s="59"/>
      <c r="L56" s="59"/>
      <c r="M56" s="52"/>
    </row>
    <row r="57" spans="1:13" ht="15" customHeight="1" x14ac:dyDescent="0.25">
      <c r="A57" s="92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59"/>
      <c r="M57" s="52"/>
    </row>
    <row r="58" spans="1:13" ht="15" customHeight="1" x14ac:dyDescent="0.25">
      <c r="A58" s="92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59"/>
      <c r="M58" s="52"/>
    </row>
    <row r="59" spans="1:13" ht="15" customHeight="1" x14ac:dyDescent="0.25">
      <c r="A59" s="92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52"/>
    </row>
    <row r="60" spans="1:13" ht="15" customHeight="1" x14ac:dyDescent="0.25">
      <c r="A60" s="92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59"/>
      <c r="M60" s="52"/>
    </row>
    <row r="61" spans="1:13" ht="15" customHeight="1" thickBot="1" x14ac:dyDescent="0.3">
      <c r="A61" s="94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4"/>
    </row>
  </sheetData>
  <mergeCells count="3">
    <mergeCell ref="L1:M1"/>
    <mergeCell ref="C1:K1"/>
    <mergeCell ref="A1:B1"/>
  </mergeCells>
  <conditionalFormatting sqref="D55:I55">
    <cfRule type="top10" dxfId="2" priority="3" rank="1"/>
  </conditionalFormatting>
  <conditionalFormatting sqref="D56:I56">
    <cfRule type="top10" dxfId="1" priority="2" rank="1"/>
  </conditionalFormatting>
  <conditionalFormatting sqref="D50:I50">
    <cfRule type="top10" dxfId="0" priority="1" rank="1"/>
  </conditionalFormatting>
  <hyperlinks>
    <hyperlink ref="J52" location="'INPUT DATI'!A1" display="'INPUT DATI'!A1" xr:uid="{00000000-0004-0000-0200-000000000000}"/>
  </hyperlinks>
  <printOptions horizontalCentered="1" verticalCentered="1"/>
  <pageMargins left="0.23622047244094491" right="0.23622047244094491" top="0.74803149606299213" bottom="0.74803149606299213" header="0.31496062992125978" footer="0.31496062992125978"/>
  <pageSetup paperSize="9" scale="79" orientation="landscape" r:id="rId1"/>
  <rowBreaks count="1" manualBreakCount="1">
    <brk id="29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indAndCopyValue">
                <anchor moveWithCells="1" sizeWithCells="1">
                  <from>
                    <xdr:col>1</xdr:col>
                    <xdr:colOff>142875</xdr:colOff>
                    <xdr:row>11</xdr:row>
                    <xdr:rowOff>9525</xdr:rowOff>
                  </from>
                  <to>
                    <xdr:col>2</xdr:col>
                    <xdr:colOff>19050</xdr:colOff>
                    <xdr:row>11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Ric-Input</vt:lpstr>
      <vt:lpstr>Ric-Output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Riccardo Sangiorgio</dc:creator>
  <cp:keywords/>
  <dc:description/>
  <cp:lastModifiedBy>Taha Gokulu</cp:lastModifiedBy>
  <cp:revision/>
  <dcterms:created xsi:type="dcterms:W3CDTF">2024-03-20T09:08:46Z</dcterms:created>
  <dcterms:modified xsi:type="dcterms:W3CDTF">2024-05-22T15:22:01Z</dcterms:modified>
  <cp:category/>
  <cp:contentStatus/>
</cp:coreProperties>
</file>